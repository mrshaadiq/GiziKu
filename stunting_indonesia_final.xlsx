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macbook/Downloads/"/>
    </mc:Choice>
  </mc:AlternateContent>
  <xr:revisionPtr revIDLastSave="0" documentId="8_{58DD9F45-FE78-294D-ADE3-81F3F37E00AF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Data Stunting Provinsi" sheetId="1" r:id="rId1"/>
    <sheet name="Sheet1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2" i="1" l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40" authorId="0" shapeId="0" xr:uid="{00000000-0006-0000-0000-000001000000}">
      <text>
        <r>
          <rPr>
            <sz val="10"/>
            <rFont val="Arial"/>
            <family val="2"/>
          </rPr>
          <t>Belum tersedia secara resmi pada publikasi SSGI 2024 karena keterbatasan sampel.</t>
        </r>
      </text>
    </comment>
    <comment ref="D42" authorId="0" shapeId="0" xr:uid="{00000000-0006-0000-0000-000002000000}">
      <text>
        <r>
          <rPr>
            <sz val="10"/>
            <rFont val="Arial"/>
            <family val="2"/>
          </rPr>
          <t>Belum tersedia secara resmi pada publikasi SSGI 2024 karena keterbatasan sampel.</t>
        </r>
      </text>
    </comment>
  </commentList>
</comments>
</file>

<file path=xl/sharedStrings.xml><?xml version="1.0" encoding="utf-8"?>
<sst xmlns="http://schemas.openxmlformats.org/spreadsheetml/2006/main" count="183" uniqueCount="149">
  <si>
    <t>DATA PREVALENSI STUNTING &amp; AKSES FASILITAS KESEHATAN PER PROVINSI DI INDONESIA (2024)</t>
  </si>
  <si>
    <t>No</t>
  </si>
  <si>
    <t>Provinsi</t>
  </si>
  <si>
    <t>Wilayah</t>
  </si>
  <si>
    <t>Prevalensi Stunting 2024 (%)</t>
  </si>
  <si>
    <t>Status vs Rata-rata Nasional</t>
  </si>
  <si>
    <t>Akses Fasilitas Kesehatan</t>
  </si>
  <si>
    <t>Urgensi / Prioritas Penanganan</t>
  </si>
  <si>
    <t>Aceh</t>
  </si>
  <si>
    <t>Sumatera</t>
  </si>
  <si>
    <t>Sedang. Rumah sakit dan puskesmas tersedia di seluruh kabupaten/kota, namun wilayah kepulauan dan pegunungan masih mengalami keterbatasan akses layanan rujukan.</t>
  </si>
  <si>
    <t>Prevalensi stunting jauh di atas rata-rata nasional (19,8%). Pemerataan layanan kesehatan ibu-anak dan intervensi gizi masih menjadi prioritas utama.</t>
  </si>
  <si>
    <t>Bengkulu</t>
  </si>
  <si>
    <t>Baik. Sebagian besar masyarakat telah terjangkau layanan kesehatan dasar, namun tenaga kesehatan spesialis masih terbatas.</t>
  </si>
  <si>
    <t>Stunting sudah berada di bawah rata-rata nasional, tetapi program pencegahan perlu dipertahankan.</t>
  </si>
  <si>
    <t>Jambi</t>
  </si>
  <si>
    <t>Baik. Jaringan puskesmas menjangkau sebagian besar wilayah, namun distribusi dokter spesialis masih belum merata.</t>
  </si>
  <si>
    <t>Masih sedikit di atas rata-rata nasional sehingga diperlukan penguatan layanan kesehatan ibu dan anak.</t>
  </si>
  <si>
    <t>Kepulauan Bangka Belitung</t>
  </si>
  <si>
    <t>Sedang. Karakteristik wilayah kepulauan menyebabkan akses menuju rumah sakit rujukan membutuhkan waktu lebih lama.</t>
  </si>
  <si>
    <t>Masih sedikit di atas rata-rata nasional sehingga pemerataan layanan kesehatan antarpulau perlu ditingkatkan.</t>
  </si>
  <si>
    <t>Kepulauan Riau</t>
  </si>
  <si>
    <t>Sedang. Wilayah kepulauan menyebabkan sebagian masyarakat bergantung pada transportasi laut untuk memperoleh layanan rujukan.</t>
  </si>
  <si>
    <t>Prevalensi sudah di bawah rata-rata nasional, namun pemerataan akses layanan kesehatan di pulau-pulau kecil masih menjadi tantangan.</t>
  </si>
  <si>
    <t>Lampung</t>
  </si>
  <si>
    <t>Baik. Memiliki jaringan puskesmas dan rumah sakit yang cukup merata di seluruh kabupaten/kota.</t>
  </si>
  <si>
    <t>Prevalensi berada di bawah rata-rata nasional. Fokus utama adalah mempertahankan capaian melalui edukasi gizi dan layanan kesehatan preventif.</t>
  </si>
  <si>
    <t>Riau</t>
  </si>
  <si>
    <t>Baik. Wilayah perkotaan memiliki fasilitas kesehatan yang memadai, sedangkan daerah pesisir dan terpencil masih memerlukan peningkatan layanan.</t>
  </si>
  <si>
    <t>Prevalensi sedikit di atas rata-rata nasional sehingga intervensi pencegahan stunting tetap perlu diperkuat.</t>
  </si>
  <si>
    <t>Sumatera Barat</t>
  </si>
  <si>
    <t>Baik. Layanan kesehatan dasar tersedia di seluruh kabupaten/kota, namun daerah pegunungan dan kepulauan masih menghadapi kendala akses.</t>
  </si>
  <si>
    <t>Angka stunting masih tinggi sehingga perlu penguatan layanan kesehatan primer dan intervensi gizi berkelanjutan.</t>
  </si>
  <si>
    <t>Sumatera Selatan</t>
  </si>
  <si>
    <t>Baik. Infrastruktur layanan kesehatan relatif lengkap, namun wilayah rawa dan perairan masih menghadapi tantangan akses.</t>
  </si>
  <si>
    <t>Prevalensi sudah di bawah rata-rata nasional, namun pemerataan pelayanan di daerah terpencil tetap perlu ditingkatkan.</t>
  </si>
  <si>
    <t>Sumatera Utara</t>
  </si>
  <si>
    <t>Baik. Memiliki jaringan rumah sakit terbesar di Sumatera, namun layanan spesialis masih terpusat di Kota Medan.</t>
  </si>
  <si>
    <t>Masih berada di atas rata-rata nasional sehingga diperlukan pemerataan pelayanan kesehatan dan peningkatan edukasi gizi.</t>
  </si>
  <si>
    <t>Banten</t>
  </si>
  <si>
    <t>Jawa</t>
  </si>
  <si>
    <t>Baik. Wilayah Tangerang memiliki fasilitas kesehatan yang lengkap, namun wilayah selatan Banten masih menghadapi keterbatasan akses layanan rujukan.</t>
  </si>
  <si>
    <t>Angka stunting masih di atas rata-rata nasional sehingga diperlukan pemerataan layanan kesehatan ibu dan anak serta edukasi gizi.</t>
  </si>
  <si>
    <t>DI Yogyakarta</t>
  </si>
  <si>
    <t>Sangat Baik. Memiliki rasio tenaga kesehatan dan fasilitas kesehatan yang tinggi serta pemerataan layanan yang baik.</t>
  </si>
  <si>
    <t>Merupakan salah satu provinsi dengan prevalensi stunting terendah di Indonesia. Fokus utama adalah mempertahankan capaian melalui pencegahan dan edukasi.</t>
  </si>
  <si>
    <t>DKI Jakarta</t>
  </si>
  <si>
    <t>Sangat Baik. Memiliki konsentrasi rumah sakit, dokter spesialis, dan fasilitas kesehatan tertinggi di Indonesia sehingga akses layanan kesehatan sangat mudah.</t>
  </si>
  <si>
    <t>Prevalensi stunting berada di bawah rata-rata nasional. Tantangan utama adalah pemerataan layanan kesehatan dan edukasi gizi pada kelompok masyarakat rentan.</t>
  </si>
  <si>
    <t>Jawa Barat</t>
  </si>
  <si>
    <t>Baik. Memiliki jaringan rumah sakit dan puskesmas yang luas, namun distribusi tenaga kesehatan masih belum merata di beberapa kabupaten.</t>
  </si>
  <si>
    <t>Prevalensi stunting berada di bawah rata-rata nasional, namun jumlah balita stunting masih tinggi karena populasi yang sangat besar.</t>
  </si>
  <si>
    <t>Jawa Tengah</t>
  </si>
  <si>
    <t>Baik. Layanan kesehatan primer menjangkau hampir seluruh wilayah, namun layanan spesialis masih terpusat di kota-kota besar.</t>
  </si>
  <si>
    <t>Prevalensi stunting masih berada di atas rata-rata nasional sehingga intervensi gizi dan pemantauan tumbuh kembang anak perlu diperkuat.</t>
  </si>
  <si>
    <t>Jawa Timur</t>
  </si>
  <si>
    <t>Baik. Memiliki jaringan rumah sakit dan puskesmas yang luas, namun wilayah kepulauan masih memerlukan peningkatan akses layanan rujukan.</t>
  </si>
  <si>
    <t>Prevalensi berada di bawah rata-rata nasional, namun jumlah balita yang besar membuat upaya pencegahan stunting tetap menjadi prioritas.</t>
  </si>
  <si>
    <t>Bali</t>
  </si>
  <si>
    <t>Bali &amp; Nusa Tenggara</t>
  </si>
  <si>
    <t>Sangat Baik. Memiliki pemerataan rumah sakit, puskesmas, dan tenaga kesehatan yang baik sehingga akses layanan kesehatan relatif mudah dijangkau.</t>
  </si>
  <si>
    <t>Memiliki prevalensi stunting terendah di Indonesia. Fokus utama adalah mempertahankan capaian melalui edukasi gizi dan layanan kesehatan preventif.</t>
  </si>
  <si>
    <t>Nusa Tenggara Barat</t>
  </si>
  <si>
    <t>Sedang. Layanan kesehatan dasar telah tersedia di seluruh kabupaten/kota, namun akses layanan spesialis di wilayah kepulauan masih terbatas.</t>
  </si>
  <si>
    <t>Prevalensi stunting masih sangat tinggi sehingga diperlukan penguatan intervensi gizi dan layanan kesehatan ibu-anak.</t>
  </si>
  <si>
    <t>Nusa Tenggara Timur</t>
  </si>
  <si>
    <t>Terbatas. Kondisi geografis kepulauan menyebabkan sebagian masyarakat harus menempuh perjalanan jauh untuk memperoleh layanan kesehatan rujukan.</t>
  </si>
  <si>
    <t>Menjadi provinsi dengan prevalensi stunting tertinggi di Indonesia sehingga membutuhkan intervensi gizi, sanitasi, dan pelayanan kesehatan secara intensif.</t>
  </si>
  <si>
    <t>Kalimantan Barat</t>
  </si>
  <si>
    <t>Kalimantan</t>
  </si>
  <si>
    <t>Sedang. Wilayah perbatasan dan pedalaman masih menghadapi keterbatasan akses menuju rumah sakit rujukan serta distribusi tenaga kesehatan belum merata.</t>
  </si>
  <si>
    <t>Prevalensi stunting jauh di atas rata-rata nasional sehingga diperlukan pemerataan layanan kesehatan ibu dan anak serta peningkatan intervensi gizi.</t>
  </si>
  <si>
    <t>Kalimantan Selatan</t>
  </si>
  <si>
    <t>Baik. Rumah sakit dan puskesmas tersedia di seluruh kabupaten/kota, namun layanan spesialis masih terpusat di Banjarmasin dan Banjarbaru.</t>
  </si>
  <si>
    <t>Masih berada di atas rata-rata nasional sehingga diperlukan penguatan layanan kesehatan primer, edukasi gizi, dan pemantauan tumbuh kembang anak.</t>
  </si>
  <si>
    <t>Kalimantan Tengah</t>
  </si>
  <si>
    <t>Sedang. Sebagian wilayah pedalaman dan daerah aliran sungai membutuhkan waktu tempuh lebih lama menuju fasilitas kesehatan rujukan.</t>
  </si>
  <si>
    <t>Prevalensi stunting masih berada di atas rata-rata nasional. Hambatan geografis membuat pemerataan layanan kesehatan menjadi tantangan utama.</t>
  </si>
  <si>
    <t>Kalimantan Timur</t>
  </si>
  <si>
    <t>Baik. Infrastruktur kesehatan berkembang pesat di kota-kota besar, namun beberapa wilayah pedalaman masih memiliki keterbatasan akses layanan rujukan.</t>
  </si>
  <si>
    <t>Angka stunting masih berada di atas rata-rata nasional sehingga intervensi gizi dan pemerataan tenaga kesehatan tetap menjadi prioritas.</t>
  </si>
  <si>
    <t>Kalimantan Utara</t>
  </si>
  <si>
    <t>Sedang. Wilayah perbatasan dan daerah terpencil masih menghadapi keterbatasan akses menuju rumah sakit rujukan akibat kondisi geografis.</t>
  </si>
  <si>
    <t>Prevalensi stunting sudah berada di bawah rata-rata nasional, namun peningkatan akses layanan kesehatan di wilayah terpencil tetap diperlukan.</t>
  </si>
  <si>
    <t>Gorontalo</t>
  </si>
  <si>
    <t>Sulawesi</t>
  </si>
  <si>
    <t>Sedang. Layanan kesehatan dasar tersedia, namun akses terhadap dokter spesialis anak dan rumah sakit rujukan masih terbatas di beberapa wilayah.</t>
  </si>
  <si>
    <t>Prevalensi stunting cukup tinggi sehingga diperlukan peningkatan pelayanan kesehatan ibu dan anak serta edukasi gizi.</t>
  </si>
  <si>
    <t>Sulawesi Barat</t>
  </si>
  <si>
    <t>Sedang. Fasilitas kesehatan dasar tersedia, namun distribusi tenaga kesehatan spesialis masih terbatas terutama di wilayah pesisir dan pegunungan.</t>
  </si>
  <si>
    <t>Merupakan salah satu provinsi dengan prevalensi stunting tertinggi di Indonesia sehingga membutuhkan percepatan intervensi gizi dan peningkatan akses layanan kesehatan.</t>
  </si>
  <si>
    <t>Sulawesi Selatan</t>
  </si>
  <si>
    <t>Baik. Memiliki jaringan rumah sakit dan puskesmas yang cukup lengkap, namun layanan spesialis masih terkonsentrasi di Kota Makassar.</t>
  </si>
  <si>
    <t>Prevalensi stunting masih berada di atas rata-rata nasional sehingga diperlukan pemerataan layanan kesehatan dan edukasi gizi.</t>
  </si>
  <si>
    <t>Sulawesi Tengah</t>
  </si>
  <si>
    <t>Sedang. Kondisi geografis berupa pegunungan dan wilayah yang luas menyebabkan sebagian masyarakat membutuhkan waktu tempuh lebih lama menuju fasilitas kesehatan.</t>
  </si>
  <si>
    <t>Angka stunting masih tinggi sehingga pemerataan akses layanan kesehatan dan intervensi gizi menjadi prioritas.</t>
  </si>
  <si>
    <t>Sulawesi Tenggara</t>
  </si>
  <si>
    <t>Sedang. Wilayah kepulauan menyebabkan akses menuju rumah sakit rujukan di beberapa daerah memerlukan waktu tempuh lebih lama.</t>
  </si>
  <si>
    <t>Angka stunting masih cukup tinggi sehingga perlu penguatan layanan kesehatan ibu dan anak serta pemerataan akses di wilayah kepulauan.</t>
  </si>
  <si>
    <t>Sulawesi Utara</t>
  </si>
  <si>
    <t>Baik. Rumah sakit dan puskesmas relatif merata di wilayah daratan, namun beberapa pulau kecil masih memiliki keterbatasan akses layanan rujukan.</t>
  </si>
  <si>
    <t>Prevalensi stunting masih di atas rata-rata nasional sehingga diperlukan penguatan intervensi gizi dan pemerataan layanan kesehatan.</t>
  </si>
  <si>
    <t>Maluku</t>
  </si>
  <si>
    <t>Maluku &amp; Papua</t>
  </si>
  <si>
    <t>Terbatas. Karakteristik wilayah kepulauan menyebabkan distribusi tenaga kesehatan dan layanan rujukan belum merata.</t>
  </si>
  <si>
    <t>Prevalensi stunting masih jauh di atas rata-rata nasional sehingga pemerataan layanan kesehatan menjadi prioritas.</t>
  </si>
  <si>
    <t>Maluku Utara</t>
  </si>
  <si>
    <t>Sedang. Akses layanan kesehatan cukup baik di wilayah utama, namun pulau-pulau kecil masih menghadapi keterbatasan layanan rujukan.</t>
  </si>
  <si>
    <t>Masih berada di atas rata-rata nasional sehingga diperlukan peningkatan intervensi gizi dan pemerataan tenaga kesehatan.</t>
  </si>
  <si>
    <t>Papua</t>
  </si>
  <si>
    <t>Terbatas. Sebagian wilayah hanya dapat dijangkau melalui jalur udara atau laut sehingga akses menuju rumah sakit rujukan masih menjadi tantangan.</t>
  </si>
  <si>
    <t>Prevalensi stunting masih tinggi. Pemerataan layanan kesehatan ibu-anak dan distribusi tenaga kesehatan perlu diperkuat.</t>
  </si>
  <si>
    <t>Papua Barat</t>
  </si>
  <si>
    <t>Terbatas. Sebaran penduduk yang berjauhan menyebabkan akses menuju fasilitas kesehatan membutuhkan waktu lebih lama.</t>
  </si>
  <si>
    <t>Prevalensi stunting berada di atas rata-rata nasional sehingga diperlukan peningkatan layanan kesehatan dasar dan edukasi gizi.</t>
  </si>
  <si>
    <t>Papua Barat Daya</t>
  </si>
  <si>
    <t>Terbatas. Wilayah pesisir dan kepulauan masih memiliki keterbatasan akses terhadap layanan kesehatan rujukan.</t>
  </si>
  <si>
    <t>Prevalensi stunting sangat tinggi sehingga diperlukan penguatan layanan kesehatan primer dan intervensi gizi berkelanjutan.</t>
  </si>
  <si>
    <t>Papua Pegunungan</t>
  </si>
  <si>
    <t>Belum tersedia</t>
  </si>
  <si>
    <t>Sangat Terbatas. Banyak wilayah hanya dapat dijangkau menggunakan transportasi udara atau berjalan kaki sehingga pelayanan kesehatan belum merata.</t>
  </si>
  <si>
    <t>Perlu percepatan pembangunan fasilitas kesehatan, distribusi tenaga medis, dan penguatan program gizi anak.</t>
  </si>
  <si>
    <t>Papua Selatan</t>
  </si>
  <si>
    <t>Terbatas. Wilayah yang luas dengan infrastruktur terbatas menyebabkan akses layanan kesehatan belum merata.</t>
  </si>
  <si>
    <t>Prevalensi stunting masih tinggi sehingga diperlukan percepatan pemerataan layanan kesehatan dan peningkatan status gizi anak.</t>
  </si>
  <si>
    <t>Papua Tengah</t>
  </si>
  <si>
    <t>Sangat Terbatas. Wilayah pegunungan dan keterbatasan infrastruktur menyebabkan akses menuju fasilitas kesehatan sangat sulit.</t>
  </si>
  <si>
    <t>Pemerataan layanan kesehatan dasar, tenaga kesehatan, dan intervensi gizi menjadi prioritas utama.</t>
  </si>
  <si>
    <t>DAFTAR SUMBER DATA — STUNTING &amp; AKSES FASILITAS KESEHATAN INDONESIA</t>
  </si>
  <si>
    <t>Nama Dataset</t>
  </si>
  <si>
    <t>Institusi</t>
  </si>
  <si>
    <t>Digunakan Untuk</t>
  </si>
  <si>
    <t>URL</t>
  </si>
  <si>
    <t>Survei Status Gizi Indonesia (SSGI) 2024</t>
  </si>
  <si>
    <t>BKPK Kementerian Kesehatan RI</t>
  </si>
  <si>
    <t>• Prevalensi stunting seluruh provinsi
• Data status gizi balita
• Indikator gizi nasional</t>
  </si>
  <si>
    <t>https://www.badankebijakan.kemkes.go.id/survei-status-gizi-indonesia-ssgi-2024/</t>
  </si>
  <si>
    <t>Buku Hasil SSGI 2024 Dalam Angka</t>
  </si>
  <si>
    <t>Kementerian Kesehatan RI</t>
  </si>
  <si>
    <t>• Angka stunting per provinsi
• Tabel statistik resmi
• Referensi utama dataset</t>
  </si>
  <si>
    <t>https://kesprimkom.kemkes.go.id/konten/145/105/0/buku-hasil-ssgi-2024-dalam-angka</t>
  </si>
  <si>
    <t>Profil Kesehatan Indonesia</t>
  </si>
  <si>
    <t>• Informasi fasilitas kesehatan
• Rumah sakit
• Puskesmas
• Tenaga kesehatan
• Kondisi layanan kesehatan</t>
  </si>
  <si>
    <t>https://kemkes.go.id/id/profil-kesehatan-indonesia-2024</t>
  </si>
  <si>
    <t>Profil Kesehatan Ibu dan Anak 2024</t>
  </si>
  <si>
    <t>Badan Pusat Statistik (BPS)</t>
  </si>
  <si>
    <t>• Statistik kesehatan ibu dan anak
• Data Susenas
• Indikator pendukung kesehatan dan kondisi sosial</t>
  </si>
  <si>
    <t>https://www.bps.go.id/id/publication/2024/12/31/a919c55a72b74e33d011b0dc/profile-of-mother-and-child-health-2024.html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</si>
</sst>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i/>
      <sz val="9"/>
      <color rgb="FF808080"/>
      <name val="Arial"/>
      <charset val="1"/>
    </font>
    <font>
      <sz val="10"/>
      <name val="Arial"/>
      <family val="2"/>
    </font>
    <font>
      <b/>
      <sz val="14"/>
      <color rgb="FF1F4E78"/>
      <name val="Arial"/>
      <family val="2"/>
    </font>
    <font>
      <b/>
      <sz val="11"/>
      <color rgb="FFFFFFFF"/>
      <name val="Arial"/>
      <family val="2"/>
    </font>
    <font>
      <u/>
      <sz val="10"/>
      <color rgb="FF0563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0" borderId="0" xfId="0" applyFont="1"/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6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emkes.go.id/id/profil-kesehatan-indonesia-2024" TargetMode="External"/><Relationship Id="rId2" Type="http://schemas.openxmlformats.org/officeDocument/2006/relationships/hyperlink" Target="https://kesprimkom.kemkes.go.id/konten/145/105/0/buku-hasil-ssgi-2024-dalam-angka" TargetMode="External"/><Relationship Id="rId1" Type="http://schemas.openxmlformats.org/officeDocument/2006/relationships/hyperlink" Target="https://www.badankebijakan.kemkes.go.id/survei-status-gizi-indonesia-ssgi-2024/" TargetMode="External"/><Relationship Id="rId4" Type="http://schemas.openxmlformats.org/officeDocument/2006/relationships/hyperlink" Target="https://www.bps.go.id/id/publication/2024/12/31/a919c55a72b74e33d011b0dc/profile-of-mother-and-child-health-20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showGridLines="0" tabSelected="1" zoomScaleNormal="100" workbookViewId="0">
      <pane ySplit="4" topLeftCell="A12" activePane="bottomLeft" state="frozen"/>
      <selection pane="bottomLeft" activeCell="E21" sqref="E21"/>
    </sheetView>
  </sheetViews>
  <sheetFormatPr baseColWidth="10" defaultColWidth="8.6640625" defaultRowHeight="15" x14ac:dyDescent="0.2"/>
  <cols>
    <col min="1" max="1" width="3.6640625" bestFit="1" customWidth="1"/>
    <col min="2" max="2" width="39.5" bestFit="1" customWidth="1"/>
    <col min="3" max="3" width="18.33203125" bestFit="1" customWidth="1"/>
    <col min="4" max="4" width="13.33203125" bestFit="1" customWidth="1"/>
    <col min="5" max="5" width="18" bestFit="1" customWidth="1"/>
    <col min="6" max="6" width="45" customWidth="1"/>
    <col min="7" max="7" width="50" customWidth="1"/>
  </cols>
  <sheetData>
    <row r="1" spans="1:7" ht="21.75" customHeight="1" x14ac:dyDescent="0.2">
      <c r="A1" s="3" t="s">
        <v>0</v>
      </c>
      <c r="B1" s="3"/>
      <c r="C1" s="3"/>
      <c r="D1" s="3"/>
      <c r="E1" s="3"/>
      <c r="F1" s="3"/>
      <c r="G1" s="3"/>
    </row>
    <row r="2" spans="1:7" x14ac:dyDescent="0.2">
      <c r="A2" s="2"/>
      <c r="B2" s="2"/>
      <c r="C2" s="2"/>
      <c r="D2" s="2"/>
      <c r="E2" s="2"/>
      <c r="F2" s="2"/>
      <c r="G2" s="2"/>
    </row>
    <row r="4" spans="1:7" ht="45" x14ac:dyDescent="0.2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7" ht="56" x14ac:dyDescent="0.2">
      <c r="A5" s="5">
        <v>1</v>
      </c>
      <c r="B5" s="6" t="s">
        <v>8</v>
      </c>
      <c r="C5" s="6" t="s">
        <v>9</v>
      </c>
      <c r="D5" s="7">
        <v>28.6</v>
      </c>
      <c r="E5" s="5" t="str">
        <f t="shared" ref="E5:E42" si="0">IF(ISNUMBER(D5),IF(D5&gt;19.8,"Di atas rata-rata nasional","Di bawah rata-rata nasional"),"Data belum tersedia")</f>
        <v>Di atas rata-rata nasional</v>
      </c>
      <c r="F5" s="8" t="s">
        <v>10</v>
      </c>
      <c r="G5" s="8" t="s">
        <v>11</v>
      </c>
    </row>
    <row r="6" spans="1:7" ht="42" x14ac:dyDescent="0.2">
      <c r="A6" s="9">
        <v>2</v>
      </c>
      <c r="B6" s="10" t="s">
        <v>12</v>
      </c>
      <c r="C6" s="10" t="s">
        <v>9</v>
      </c>
      <c r="D6" s="11">
        <v>18.8</v>
      </c>
      <c r="E6" s="9" t="str">
        <f t="shared" si="0"/>
        <v>Di bawah rata-rata nasional</v>
      </c>
      <c r="F6" s="12" t="s">
        <v>13</v>
      </c>
      <c r="G6" s="12" t="s">
        <v>14</v>
      </c>
    </row>
    <row r="7" spans="1:7" ht="42" x14ac:dyDescent="0.2">
      <c r="A7" s="5">
        <v>3</v>
      </c>
      <c r="B7" s="6" t="s">
        <v>15</v>
      </c>
      <c r="C7" s="6" t="s">
        <v>9</v>
      </c>
      <c r="D7" s="7">
        <v>20.100000000000001</v>
      </c>
      <c r="E7" s="5" t="str">
        <f t="shared" si="0"/>
        <v>Di atas rata-rata nasional</v>
      </c>
      <c r="F7" s="8" t="s">
        <v>16</v>
      </c>
      <c r="G7" s="8" t="s">
        <v>17</v>
      </c>
    </row>
    <row r="8" spans="1:7" ht="42" x14ac:dyDescent="0.2">
      <c r="A8" s="9">
        <v>4</v>
      </c>
      <c r="B8" s="10" t="s">
        <v>18</v>
      </c>
      <c r="C8" s="10" t="s">
        <v>9</v>
      </c>
      <c r="D8" s="11">
        <v>20.100000000000001</v>
      </c>
      <c r="E8" s="9" t="str">
        <f t="shared" si="0"/>
        <v>Di atas rata-rata nasional</v>
      </c>
      <c r="F8" s="12" t="s">
        <v>19</v>
      </c>
      <c r="G8" s="12" t="s">
        <v>20</v>
      </c>
    </row>
    <row r="9" spans="1:7" ht="42" x14ac:dyDescent="0.2">
      <c r="A9" s="5">
        <v>5</v>
      </c>
      <c r="B9" s="6" t="s">
        <v>21</v>
      </c>
      <c r="C9" s="6" t="s">
        <v>9</v>
      </c>
      <c r="D9" s="7">
        <v>15.9</v>
      </c>
      <c r="E9" s="5" t="str">
        <f t="shared" si="0"/>
        <v>Di bawah rata-rata nasional</v>
      </c>
      <c r="F9" s="8" t="s">
        <v>22</v>
      </c>
      <c r="G9" s="8" t="s">
        <v>23</v>
      </c>
    </row>
    <row r="10" spans="1:7" ht="42" x14ac:dyDescent="0.2">
      <c r="A10" s="9">
        <v>6</v>
      </c>
      <c r="B10" s="10" t="s">
        <v>24</v>
      </c>
      <c r="C10" s="10" t="s">
        <v>9</v>
      </c>
      <c r="D10" s="11">
        <v>17.600000000000001</v>
      </c>
      <c r="E10" s="9" t="str">
        <f t="shared" si="0"/>
        <v>Di bawah rata-rata nasional</v>
      </c>
      <c r="F10" s="12" t="s">
        <v>25</v>
      </c>
      <c r="G10" s="12" t="s">
        <v>26</v>
      </c>
    </row>
    <row r="11" spans="1:7" ht="42" x14ac:dyDescent="0.2">
      <c r="A11" s="5">
        <v>7</v>
      </c>
      <c r="B11" s="6" t="s">
        <v>27</v>
      </c>
      <c r="C11" s="6" t="s">
        <v>9</v>
      </c>
      <c r="D11" s="7">
        <v>20.100000000000001</v>
      </c>
      <c r="E11" s="5" t="str">
        <f t="shared" si="0"/>
        <v>Di atas rata-rata nasional</v>
      </c>
      <c r="F11" s="8" t="s">
        <v>28</v>
      </c>
      <c r="G11" s="8" t="s">
        <v>29</v>
      </c>
    </row>
    <row r="12" spans="1:7" ht="42" x14ac:dyDescent="0.2">
      <c r="A12" s="9">
        <v>8</v>
      </c>
      <c r="B12" s="10" t="s">
        <v>30</v>
      </c>
      <c r="C12" s="10" t="s">
        <v>9</v>
      </c>
      <c r="D12" s="11">
        <v>24.9</v>
      </c>
      <c r="E12" s="9" t="str">
        <f t="shared" si="0"/>
        <v>Di atas rata-rata nasional</v>
      </c>
      <c r="F12" s="12" t="s">
        <v>31</v>
      </c>
      <c r="G12" s="12" t="s">
        <v>32</v>
      </c>
    </row>
    <row r="13" spans="1:7" ht="42" x14ac:dyDescent="0.2">
      <c r="A13" s="5">
        <v>9</v>
      </c>
      <c r="B13" s="6" t="s">
        <v>33</v>
      </c>
      <c r="C13" s="6" t="s">
        <v>9</v>
      </c>
      <c r="D13" s="7">
        <v>17.399999999999999</v>
      </c>
      <c r="E13" s="5" t="str">
        <f t="shared" si="0"/>
        <v>Di bawah rata-rata nasional</v>
      </c>
      <c r="F13" s="8" t="s">
        <v>34</v>
      </c>
      <c r="G13" s="8" t="s">
        <v>35</v>
      </c>
    </row>
    <row r="14" spans="1:7" ht="42" x14ac:dyDescent="0.2">
      <c r="A14" s="9">
        <v>10</v>
      </c>
      <c r="B14" s="10" t="s">
        <v>36</v>
      </c>
      <c r="C14" s="10" t="s">
        <v>9</v>
      </c>
      <c r="D14" s="11">
        <v>22</v>
      </c>
      <c r="E14" s="9" t="str">
        <f t="shared" si="0"/>
        <v>Di atas rata-rata nasional</v>
      </c>
      <c r="F14" s="12" t="s">
        <v>37</v>
      </c>
      <c r="G14" s="12" t="s">
        <v>38</v>
      </c>
    </row>
    <row r="15" spans="1:7" ht="42" x14ac:dyDescent="0.2">
      <c r="A15" s="5">
        <v>11</v>
      </c>
      <c r="B15" s="6" t="s">
        <v>39</v>
      </c>
      <c r="C15" s="6" t="s">
        <v>40</v>
      </c>
      <c r="D15" s="7">
        <v>22.1</v>
      </c>
      <c r="E15" s="5" t="str">
        <f t="shared" si="0"/>
        <v>Di atas rata-rata nasional</v>
      </c>
      <c r="F15" s="8" t="s">
        <v>41</v>
      </c>
      <c r="G15" s="8" t="s">
        <v>42</v>
      </c>
    </row>
    <row r="16" spans="1:7" ht="42" x14ac:dyDescent="0.2">
      <c r="A16" s="9">
        <v>12</v>
      </c>
      <c r="B16" s="10" t="s">
        <v>43</v>
      </c>
      <c r="C16" s="10" t="s">
        <v>40</v>
      </c>
      <c r="D16" s="11">
        <v>8.6</v>
      </c>
      <c r="E16" s="9" t="str">
        <f t="shared" si="0"/>
        <v>Di bawah rata-rata nasional</v>
      </c>
      <c r="F16" s="12" t="s">
        <v>44</v>
      </c>
      <c r="G16" s="12" t="s">
        <v>45</v>
      </c>
    </row>
    <row r="17" spans="1:7" ht="42" x14ac:dyDescent="0.2">
      <c r="A17" s="5">
        <v>13</v>
      </c>
      <c r="B17" s="6" t="s">
        <v>46</v>
      </c>
      <c r="C17" s="6" t="s">
        <v>40</v>
      </c>
      <c r="D17" s="7">
        <v>15</v>
      </c>
      <c r="E17" s="5" t="str">
        <f t="shared" si="0"/>
        <v>Di bawah rata-rata nasional</v>
      </c>
      <c r="F17" s="8" t="s">
        <v>47</v>
      </c>
      <c r="G17" s="8" t="s">
        <v>48</v>
      </c>
    </row>
    <row r="18" spans="1:7" ht="42" x14ac:dyDescent="0.2">
      <c r="A18" s="9">
        <v>14</v>
      </c>
      <c r="B18" s="10" t="s">
        <v>49</v>
      </c>
      <c r="C18" s="10" t="s">
        <v>40</v>
      </c>
      <c r="D18" s="11">
        <v>15.9</v>
      </c>
      <c r="E18" s="9" t="str">
        <f t="shared" si="0"/>
        <v>Di bawah rata-rata nasional</v>
      </c>
      <c r="F18" s="12" t="s">
        <v>50</v>
      </c>
      <c r="G18" s="12" t="s">
        <v>51</v>
      </c>
    </row>
    <row r="19" spans="1:7" ht="42" x14ac:dyDescent="0.2">
      <c r="A19" s="5">
        <v>15</v>
      </c>
      <c r="B19" s="6" t="s">
        <v>52</v>
      </c>
      <c r="C19" s="6" t="s">
        <v>40</v>
      </c>
      <c r="D19" s="7">
        <v>20.8</v>
      </c>
      <c r="E19" s="5" t="str">
        <f t="shared" si="0"/>
        <v>Di atas rata-rata nasional</v>
      </c>
      <c r="F19" s="8" t="s">
        <v>53</v>
      </c>
      <c r="G19" s="8" t="s">
        <v>54</v>
      </c>
    </row>
    <row r="20" spans="1:7" ht="42" x14ac:dyDescent="0.2">
      <c r="A20" s="9">
        <v>16</v>
      </c>
      <c r="B20" s="10" t="s">
        <v>55</v>
      </c>
      <c r="C20" s="10" t="s">
        <v>40</v>
      </c>
      <c r="D20" s="11">
        <v>17.2</v>
      </c>
      <c r="E20" s="9" t="str">
        <f t="shared" si="0"/>
        <v>Di bawah rata-rata nasional</v>
      </c>
      <c r="F20" s="12" t="s">
        <v>56</v>
      </c>
      <c r="G20" s="12" t="s">
        <v>57</v>
      </c>
    </row>
    <row r="21" spans="1:7" ht="56" x14ac:dyDescent="0.2">
      <c r="A21" s="5">
        <v>17</v>
      </c>
      <c r="B21" s="6" t="s">
        <v>58</v>
      </c>
      <c r="C21" s="6" t="s">
        <v>59</v>
      </c>
      <c r="D21" s="7">
        <v>8.6999999999999993</v>
      </c>
      <c r="E21" s="5" t="str">
        <f t="shared" si="0"/>
        <v>Di bawah rata-rata nasional</v>
      </c>
      <c r="F21" s="8" t="s">
        <v>60</v>
      </c>
      <c r="G21" s="8" t="s">
        <v>61</v>
      </c>
    </row>
    <row r="22" spans="1:7" ht="42" x14ac:dyDescent="0.2">
      <c r="A22" s="9">
        <v>18</v>
      </c>
      <c r="B22" s="10" t="s">
        <v>62</v>
      </c>
      <c r="C22" s="10" t="s">
        <v>59</v>
      </c>
      <c r="D22" s="11">
        <v>29.8</v>
      </c>
      <c r="E22" s="9" t="str">
        <f t="shared" si="0"/>
        <v>Di atas rata-rata nasional</v>
      </c>
      <c r="F22" s="12" t="s">
        <v>63</v>
      </c>
      <c r="G22" s="12" t="s">
        <v>64</v>
      </c>
    </row>
    <row r="23" spans="1:7" ht="42" x14ac:dyDescent="0.2">
      <c r="A23" s="5">
        <v>19</v>
      </c>
      <c r="B23" s="6" t="s">
        <v>65</v>
      </c>
      <c r="C23" s="6" t="s">
        <v>59</v>
      </c>
      <c r="D23" s="7">
        <v>37</v>
      </c>
      <c r="E23" s="5" t="str">
        <f t="shared" si="0"/>
        <v>Di atas rata-rata nasional</v>
      </c>
      <c r="F23" s="8" t="s">
        <v>66</v>
      </c>
      <c r="G23" s="8" t="s">
        <v>67</v>
      </c>
    </row>
    <row r="24" spans="1:7" ht="56" x14ac:dyDescent="0.2">
      <c r="A24" s="9">
        <v>20</v>
      </c>
      <c r="B24" s="10" t="s">
        <v>68</v>
      </c>
      <c r="C24" s="10" t="s">
        <v>69</v>
      </c>
      <c r="D24" s="11">
        <v>26.8</v>
      </c>
      <c r="E24" s="9" t="str">
        <f t="shared" si="0"/>
        <v>Di atas rata-rata nasional</v>
      </c>
      <c r="F24" s="12" t="s">
        <v>70</v>
      </c>
      <c r="G24" s="12" t="s">
        <v>71</v>
      </c>
    </row>
    <row r="25" spans="1:7" ht="42" x14ac:dyDescent="0.2">
      <c r="A25" s="5">
        <v>21</v>
      </c>
      <c r="B25" s="6" t="s">
        <v>72</v>
      </c>
      <c r="C25" s="6" t="s">
        <v>69</v>
      </c>
      <c r="D25" s="7">
        <v>22.9</v>
      </c>
      <c r="E25" s="5" t="str">
        <f t="shared" si="0"/>
        <v>Di atas rata-rata nasional</v>
      </c>
      <c r="F25" s="8" t="s">
        <v>73</v>
      </c>
      <c r="G25" s="8" t="s">
        <v>74</v>
      </c>
    </row>
    <row r="26" spans="1:7" ht="42" x14ac:dyDescent="0.2">
      <c r="A26" s="9">
        <v>22</v>
      </c>
      <c r="B26" s="10" t="s">
        <v>75</v>
      </c>
      <c r="C26" s="10" t="s">
        <v>69</v>
      </c>
      <c r="D26" s="11">
        <v>22.1</v>
      </c>
      <c r="E26" s="9" t="str">
        <f t="shared" si="0"/>
        <v>Di atas rata-rata nasional</v>
      </c>
      <c r="F26" s="12" t="s">
        <v>76</v>
      </c>
      <c r="G26" s="12" t="s">
        <v>77</v>
      </c>
    </row>
    <row r="27" spans="1:7" ht="42" x14ac:dyDescent="0.2">
      <c r="A27" s="5">
        <v>23</v>
      </c>
      <c r="B27" s="6" t="s">
        <v>78</v>
      </c>
      <c r="C27" s="6" t="s">
        <v>69</v>
      </c>
      <c r="D27" s="7">
        <v>22.2</v>
      </c>
      <c r="E27" s="5" t="str">
        <f t="shared" si="0"/>
        <v>Di atas rata-rata nasional</v>
      </c>
      <c r="F27" s="8" t="s">
        <v>79</v>
      </c>
      <c r="G27" s="8" t="s">
        <v>80</v>
      </c>
    </row>
    <row r="28" spans="1:7" ht="42" x14ac:dyDescent="0.2">
      <c r="A28" s="9">
        <v>24</v>
      </c>
      <c r="B28" s="10" t="s">
        <v>81</v>
      </c>
      <c r="C28" s="10" t="s">
        <v>69</v>
      </c>
      <c r="D28" s="11">
        <v>17.5</v>
      </c>
      <c r="E28" s="9" t="str">
        <f t="shared" si="0"/>
        <v>Di bawah rata-rata nasional</v>
      </c>
      <c r="F28" s="12" t="s">
        <v>82</v>
      </c>
      <c r="G28" s="12" t="s">
        <v>83</v>
      </c>
    </row>
    <row r="29" spans="1:7" ht="42" x14ac:dyDescent="0.2">
      <c r="A29" s="5">
        <v>25</v>
      </c>
      <c r="B29" s="6" t="s">
        <v>84</v>
      </c>
      <c r="C29" s="6" t="s">
        <v>85</v>
      </c>
      <c r="D29" s="7">
        <v>23.5</v>
      </c>
      <c r="E29" s="5" t="str">
        <f t="shared" si="0"/>
        <v>Di atas rata-rata nasional</v>
      </c>
      <c r="F29" s="8" t="s">
        <v>86</v>
      </c>
      <c r="G29" s="8" t="s">
        <v>87</v>
      </c>
    </row>
    <row r="30" spans="1:7" ht="42" x14ac:dyDescent="0.2">
      <c r="A30" s="9">
        <v>26</v>
      </c>
      <c r="B30" s="10" t="s">
        <v>88</v>
      </c>
      <c r="C30" s="10" t="s">
        <v>85</v>
      </c>
      <c r="D30" s="11">
        <v>35.4</v>
      </c>
      <c r="E30" s="9" t="str">
        <f t="shared" si="0"/>
        <v>Di atas rata-rata nasional</v>
      </c>
      <c r="F30" s="12" t="s">
        <v>89</v>
      </c>
      <c r="G30" s="12" t="s">
        <v>90</v>
      </c>
    </row>
    <row r="31" spans="1:7" ht="42" x14ac:dyDescent="0.2">
      <c r="A31" s="5">
        <v>27</v>
      </c>
      <c r="B31" s="6" t="s">
        <v>91</v>
      </c>
      <c r="C31" s="6" t="s">
        <v>85</v>
      </c>
      <c r="D31" s="7">
        <v>23.3</v>
      </c>
      <c r="E31" s="5" t="str">
        <f t="shared" si="0"/>
        <v>Di atas rata-rata nasional</v>
      </c>
      <c r="F31" s="8" t="s">
        <v>92</v>
      </c>
      <c r="G31" s="8" t="s">
        <v>93</v>
      </c>
    </row>
    <row r="32" spans="1:7" ht="56" x14ac:dyDescent="0.2">
      <c r="A32" s="9">
        <v>28</v>
      </c>
      <c r="B32" s="10" t="s">
        <v>94</v>
      </c>
      <c r="C32" s="10" t="s">
        <v>85</v>
      </c>
      <c r="D32" s="11">
        <v>24.2</v>
      </c>
      <c r="E32" s="9" t="str">
        <f t="shared" si="0"/>
        <v>Di atas rata-rata nasional</v>
      </c>
      <c r="F32" s="12" t="s">
        <v>95</v>
      </c>
      <c r="G32" s="12" t="s">
        <v>96</v>
      </c>
    </row>
    <row r="33" spans="1:7" ht="42" x14ac:dyDescent="0.2">
      <c r="A33" s="5">
        <v>29</v>
      </c>
      <c r="B33" s="6" t="s">
        <v>97</v>
      </c>
      <c r="C33" s="6" t="s">
        <v>85</v>
      </c>
      <c r="D33" s="7">
        <v>26.1</v>
      </c>
      <c r="E33" s="5" t="str">
        <f t="shared" si="0"/>
        <v>Di atas rata-rata nasional</v>
      </c>
      <c r="F33" s="8" t="s">
        <v>98</v>
      </c>
      <c r="G33" s="8" t="s">
        <v>99</v>
      </c>
    </row>
    <row r="34" spans="1:7" ht="42" x14ac:dyDescent="0.2">
      <c r="A34" s="9">
        <v>30</v>
      </c>
      <c r="B34" s="10" t="s">
        <v>100</v>
      </c>
      <c r="C34" s="10" t="s">
        <v>85</v>
      </c>
      <c r="D34" s="11">
        <v>21.1</v>
      </c>
      <c r="E34" s="9" t="str">
        <f t="shared" si="0"/>
        <v>Di atas rata-rata nasional</v>
      </c>
      <c r="F34" s="12" t="s">
        <v>101</v>
      </c>
      <c r="G34" s="12" t="s">
        <v>102</v>
      </c>
    </row>
    <row r="35" spans="1:7" ht="42" x14ac:dyDescent="0.2">
      <c r="A35" s="5">
        <v>31</v>
      </c>
      <c r="B35" s="6" t="s">
        <v>103</v>
      </c>
      <c r="C35" s="6" t="s">
        <v>104</v>
      </c>
      <c r="D35" s="7">
        <v>28.3</v>
      </c>
      <c r="E35" s="5" t="str">
        <f t="shared" si="0"/>
        <v>Di atas rata-rata nasional</v>
      </c>
      <c r="F35" s="8" t="s">
        <v>105</v>
      </c>
      <c r="G35" s="8" t="s">
        <v>106</v>
      </c>
    </row>
    <row r="36" spans="1:7" ht="42" x14ac:dyDescent="0.2">
      <c r="A36" s="9">
        <v>32</v>
      </c>
      <c r="B36" s="10" t="s">
        <v>107</v>
      </c>
      <c r="C36" s="10" t="s">
        <v>104</v>
      </c>
      <c r="D36" s="11">
        <v>23.2</v>
      </c>
      <c r="E36" s="9" t="str">
        <f t="shared" si="0"/>
        <v>Di atas rata-rata nasional</v>
      </c>
      <c r="F36" s="12" t="s">
        <v>108</v>
      </c>
      <c r="G36" s="12" t="s">
        <v>109</v>
      </c>
    </row>
    <row r="37" spans="1:7" ht="42" x14ac:dyDescent="0.2">
      <c r="A37" s="5">
        <v>33</v>
      </c>
      <c r="B37" s="6" t="s">
        <v>110</v>
      </c>
      <c r="C37" s="6" t="s">
        <v>104</v>
      </c>
      <c r="D37" s="7">
        <v>24.9</v>
      </c>
      <c r="E37" s="5" t="str">
        <f t="shared" si="0"/>
        <v>Di atas rata-rata nasional</v>
      </c>
      <c r="F37" s="8" t="s">
        <v>111</v>
      </c>
      <c r="G37" s="8" t="s">
        <v>112</v>
      </c>
    </row>
    <row r="38" spans="1:7" ht="42" x14ac:dyDescent="0.2">
      <c r="A38" s="9">
        <v>34</v>
      </c>
      <c r="B38" s="10" t="s">
        <v>113</v>
      </c>
      <c r="C38" s="10" t="s">
        <v>104</v>
      </c>
      <c r="D38" s="11">
        <v>26.5</v>
      </c>
      <c r="E38" s="9" t="str">
        <f t="shared" si="0"/>
        <v>Di atas rata-rata nasional</v>
      </c>
      <c r="F38" s="12" t="s">
        <v>114</v>
      </c>
      <c r="G38" s="12" t="s">
        <v>115</v>
      </c>
    </row>
    <row r="39" spans="1:7" ht="42" x14ac:dyDescent="0.2">
      <c r="A39" s="5">
        <v>35</v>
      </c>
      <c r="B39" s="6" t="s">
        <v>116</v>
      </c>
      <c r="C39" s="6" t="s">
        <v>104</v>
      </c>
      <c r="D39" s="7">
        <v>30.5</v>
      </c>
      <c r="E39" s="5" t="str">
        <f t="shared" si="0"/>
        <v>Di atas rata-rata nasional</v>
      </c>
      <c r="F39" s="8" t="s">
        <v>117</v>
      </c>
      <c r="G39" s="8" t="s">
        <v>118</v>
      </c>
    </row>
    <row r="40" spans="1:7" ht="56" x14ac:dyDescent="0.2">
      <c r="A40" s="9">
        <v>36</v>
      </c>
      <c r="B40" s="10" t="s">
        <v>119</v>
      </c>
      <c r="C40" s="10" t="s">
        <v>104</v>
      </c>
      <c r="D40" s="9" t="s">
        <v>120</v>
      </c>
      <c r="E40" s="9" t="str">
        <f t="shared" si="0"/>
        <v>Data belum tersedia</v>
      </c>
      <c r="F40" s="12" t="s">
        <v>121</v>
      </c>
      <c r="G40" s="12" t="s">
        <v>122</v>
      </c>
    </row>
    <row r="41" spans="1:7" ht="42" x14ac:dyDescent="0.2">
      <c r="A41" s="5">
        <v>37</v>
      </c>
      <c r="B41" s="6" t="s">
        <v>123</v>
      </c>
      <c r="C41" s="6" t="s">
        <v>104</v>
      </c>
      <c r="D41" s="7">
        <v>29.8</v>
      </c>
      <c r="E41" s="5" t="str">
        <f t="shared" si="0"/>
        <v>Di atas rata-rata nasional</v>
      </c>
      <c r="F41" s="8" t="s">
        <v>124</v>
      </c>
      <c r="G41" s="8" t="s">
        <v>125</v>
      </c>
    </row>
    <row r="42" spans="1:7" ht="42" x14ac:dyDescent="0.2">
      <c r="A42" s="9">
        <v>38</v>
      </c>
      <c r="B42" s="10" t="s">
        <v>126</v>
      </c>
      <c r="C42" s="10" t="s">
        <v>104</v>
      </c>
      <c r="D42" s="9" t="s">
        <v>120</v>
      </c>
      <c r="E42" s="9" t="str">
        <f t="shared" si="0"/>
        <v>Data belum tersedia</v>
      </c>
      <c r="F42" s="12" t="s">
        <v>127</v>
      </c>
      <c r="G42" s="12" t="s">
        <v>128</v>
      </c>
    </row>
    <row r="44" spans="1:7" x14ac:dyDescent="0.2">
      <c r="B44" s="13"/>
      <c r="D44" s="14"/>
    </row>
    <row r="45" spans="1:7" x14ac:dyDescent="0.2">
      <c r="B45" s="13"/>
      <c r="D45" s="14"/>
      <c r="F45" s="13"/>
    </row>
    <row r="46" spans="1:7" x14ac:dyDescent="0.2">
      <c r="B46" s="13"/>
      <c r="D46" s="14"/>
      <c r="F46" s="13"/>
    </row>
    <row r="47" spans="1:7" x14ac:dyDescent="0.2">
      <c r="B47" s="13"/>
      <c r="D47" s="15"/>
    </row>
    <row r="49" spans="1:7" x14ac:dyDescent="0.2">
      <c r="A49" s="1"/>
      <c r="B49" s="1"/>
      <c r="C49" s="1"/>
      <c r="D49" s="1"/>
      <c r="E49" s="1"/>
      <c r="F49" s="1"/>
      <c r="G49" s="1"/>
    </row>
  </sheetData>
  <mergeCells count="3">
    <mergeCell ref="A1:G1"/>
    <mergeCell ref="A2:G2"/>
    <mergeCell ref="A49:G49"/>
  </mergeCells>
  <conditionalFormatting sqref="D5:D42">
    <cfRule type="cellIs" dxfId="1" priority="2" operator="greaterThan">
      <formula>19.8</formula>
    </cfRule>
    <cfRule type="cellIs" dxfId="0" priority="3" operator="lessThanOrEqual">
      <formula>19.8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98E84-EE99-864C-82A6-415D3C8CE4AD}">
  <dimension ref="A1:E7"/>
  <sheetViews>
    <sheetView workbookViewId="0">
      <selection activeCell="B13" sqref="B13"/>
    </sheetView>
  </sheetViews>
  <sheetFormatPr baseColWidth="10" defaultColWidth="8.6640625" defaultRowHeight="15" x14ac:dyDescent="0.2"/>
  <cols>
    <col min="1" max="1" width="32" customWidth="1"/>
    <col min="2" max="2" width="30" customWidth="1"/>
    <col min="3" max="3" width="40" customWidth="1"/>
    <col min="4" max="4" width="60" customWidth="1"/>
  </cols>
  <sheetData>
    <row r="1" spans="1:5" ht="18" x14ac:dyDescent="0.2">
      <c r="A1" s="16" t="s">
        <v>129</v>
      </c>
      <c r="B1" s="16"/>
      <c r="C1" s="16"/>
      <c r="D1" s="16"/>
      <c r="E1" s="16"/>
    </row>
    <row r="3" spans="1:5" x14ac:dyDescent="0.2">
      <c r="A3" s="17" t="s">
        <v>130</v>
      </c>
      <c r="B3" s="17" t="s">
        <v>131</v>
      </c>
      <c r="C3" s="17" t="s">
        <v>132</v>
      </c>
      <c r="D3" s="17" t="s">
        <v>133</v>
      </c>
    </row>
    <row r="4" spans="1:5" ht="42" x14ac:dyDescent="0.2">
      <c r="A4" s="18" t="s">
        <v>134</v>
      </c>
      <c r="B4" s="18" t="s">
        <v>135</v>
      </c>
      <c r="C4" s="18" t="s">
        <v>136</v>
      </c>
      <c r="D4" s="19" t="s">
        <v>137</v>
      </c>
    </row>
    <row r="5" spans="1:5" ht="42" x14ac:dyDescent="0.2">
      <c r="A5" s="20" t="s">
        <v>138</v>
      </c>
      <c r="B5" s="20" t="s">
        <v>139</v>
      </c>
      <c r="C5" s="20" t="s">
        <v>140</v>
      </c>
      <c r="D5" s="21" t="s">
        <v>141</v>
      </c>
    </row>
    <row r="6" spans="1:5" ht="70" x14ac:dyDescent="0.2">
      <c r="A6" s="18" t="s">
        <v>142</v>
      </c>
      <c r="B6" s="18" t="s">
        <v>139</v>
      </c>
      <c r="C6" s="18" t="s">
        <v>143</v>
      </c>
      <c r="D6" s="19" t="s">
        <v>144</v>
      </c>
    </row>
    <row r="7" spans="1:5" ht="56" x14ac:dyDescent="0.2">
      <c r="A7" s="20" t="s">
        <v>145</v>
      </c>
      <c r="B7" s="20" t="s">
        <v>146</v>
      </c>
      <c r="C7" s="20" t="s">
        <v>147</v>
      </c>
      <c r="D7" s="21" t="s">
        <v>148</v>
      </c>
    </row>
  </sheetData>
  <mergeCells count="1">
    <mergeCell ref="A1:E1"/>
  </mergeCells>
  <hyperlinks>
    <hyperlink ref="D4" r:id="rId1" xr:uid="{A824945B-0D2D-5E46-8EF4-20623A0A3795}"/>
    <hyperlink ref="D5" r:id="rId2" xr:uid="{5D44C563-AAB3-AC44-8922-A92791A45584}"/>
    <hyperlink ref="D6" r:id="rId3" xr:uid="{C7112199-B80F-0E43-A3DB-B7FEA5D9EAD2}"/>
    <hyperlink ref="D7" r:id="rId4" xr:uid="{B516B50B-B123-3C49-9771-698E41A34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Stunting Provinsi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macbook</cp:lastModifiedBy>
  <cp:revision>0</cp:revision>
  <dcterms:created xsi:type="dcterms:W3CDTF">2026-07-16T14:52:46Z</dcterms:created>
  <dcterms:modified xsi:type="dcterms:W3CDTF">2026-07-16T15:30:50Z</dcterms:modified>
  <dc:language>en-US</dc:language>
</cp:coreProperties>
</file>